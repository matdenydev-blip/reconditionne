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tests" sheetId="1" state="visible" r:id="rId3"/>
    <sheet name="Synthèse" sheetId="2" state="visible" r:id="rId4"/>
    <sheet name="Anomalies corrigées" sheetId="3" state="visible" r:id="rId5"/>
  </sheets>
  <definedNames>
    <definedName function="false" hidden="false" localSheetId="2" name="_xlnm.Print_Area" vbProcedure="false">'Anomalies corrigées'!$A$1:$C$5</definedName>
    <definedName function="false" hidden="false" localSheetId="2" name="_xlnm.Print_Titles" vbProcedure="false">'Anomalies corrigées'!$1:$1</definedName>
    <definedName function="false" hidden="true" localSheetId="2" name="_xlnm._FilterDatabase" vbProcedure="false">'Anomalies corrigées'!$A$1:$C$5</definedName>
    <definedName function="false" hidden="false" localSheetId="0" name="_xlnm.Print_Area" vbProcedure="false">'Plan de tests'!$A$1:$F$35</definedName>
    <definedName function="false" hidden="false" localSheetId="0" name="_xlnm.Print_Titles" vbProcedure="false">'Plan de tests'!$1:$1</definedName>
    <definedName function="false" hidden="true" localSheetId="0" name="_xlnm._FilterDatabase" vbProcedure="false">'Plan de tests'!$A$1:$F$35</definedName>
    <definedName function="false" hidden="false" localSheetId="1" name="_xlnm.Print_Area" vbProcedure="false">Synthèse!$A$1:$C$18</definedName>
    <definedName function="false" hidden="false" localSheetId="1" name="_xlnm.Print_Titles" vbProcedure="false">Synthèse!$1:$1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<sst xmlns="http://schemas.openxmlformats.org/spreadsheetml/2006/main" count="227" uniqueCount="138">
  <si>
    <t xml:space="preserve">Identifiant</t>
  </si>
  <si>
    <t xml:space="preserve">Description</t>
  </si>
  <si>
    <t xml:space="preserve">Résultat attendu</t>
  </si>
  <si>
    <t xml:space="preserve">Résultat observé</t>
  </si>
  <si>
    <t xml:space="preserve">Type</t>
  </si>
  <si>
    <t xml:space="preserve">Statut</t>
  </si>
  <si>
    <t xml:space="preserve">Tests unitaires</t>
  </si>
  <si>
    <t xml:space="preserve">TU-01</t>
  </si>
  <si>
    <t xml:space="preserve">Un produit nouvellement créé possède une date d'ajout</t>
  </si>
  <si>
    <t xml:space="preserve">La date d'ajout n'est pas vide</t>
  </si>
  <si>
    <t xml:space="preserve">OK</t>
  </si>
  <si>
    <t xml:space="preserve">Unitaire</t>
  </si>
  <si>
    <t xml:space="preserve">Réussi</t>
  </si>
  <si>
    <t xml:space="preserve">TU-02</t>
  </si>
  <si>
    <t xml:space="preserve">Un produit conserve les informations saisies (nom, prix, état, catégorie)</t>
  </si>
  <si>
    <t xml:space="preserve">Renvoient des valeurs saisies</t>
  </si>
  <si>
    <t xml:space="preserve">TU-03</t>
  </si>
  <si>
    <t xml:space="preserve">Une catégorie conserve son nom et sa description</t>
  </si>
  <si>
    <t xml:space="preserve">Les accesseurs renvoient les valeurs saisies</t>
  </si>
  <si>
    <t xml:space="preserve">TU-04</t>
  </si>
  <si>
    <t xml:space="preserve">Une catégorie nouvellement créée ne contient aucun produit</t>
  </si>
  <si>
    <t xml:space="preserve">La liste de ses produits est vide</t>
  </si>
  <si>
    <t xml:space="preserve">TU-05</t>
  </si>
  <si>
    <t xml:space="preserve">Ajouter un produit à une catégorie met à jour les deux côtés de la relation</t>
  </si>
  <si>
    <t xml:space="preserve">La catégorie contient un produit et le produit connaît sa catégorie</t>
  </si>
  <si>
    <t xml:space="preserve">Tests fonctionnels : partie publique</t>
  </si>
  <si>
    <t xml:space="preserve">TF-PUB-01</t>
  </si>
  <si>
    <t xml:space="preserve">Accès à la page d'accueil "/"</t>
  </si>
  <si>
    <t xml:space="preserve">Code 200, titre contenant "Bienvenue"</t>
  </si>
  <si>
    <t xml:space="preserve">Fonctionnel - Public</t>
  </si>
  <si>
    <t xml:space="preserve">TF-PUB-02</t>
  </si>
  <si>
    <t xml:space="preserve">Accès à la liste des produits "/produits"</t>
  </si>
  <si>
    <t xml:space="preserve">Code 200, titre "Nos produits"</t>
  </si>
  <si>
    <t xml:space="preserve">TF-PUB-03</t>
  </si>
  <si>
    <t xml:space="preserve">Accès à la liste des catégories "/categories"</t>
  </si>
  <si>
    <t xml:space="preserve">Code 200</t>
  </si>
  <si>
    <t xml:space="preserve">TF-PUB-04</t>
  </si>
  <si>
    <t xml:space="preserve">Accès à la fiche d'un produit qui n'existe pas</t>
  </si>
  <si>
    <t xml:space="preserve">Code 404</t>
  </si>
  <si>
    <t xml:space="preserve">TF-PUB-05</t>
  </si>
  <si>
    <t xml:space="preserve">La liste des produits affiche les produits enregistrés (2 produits)</t>
  </si>
  <si>
    <t xml:space="preserve">Les noms des 2 produits apparaissent dans la page</t>
  </si>
  <si>
    <t xml:space="preserve">TF-PUB-06</t>
  </si>
  <si>
    <t xml:space="preserve">La fiche produit affiche toutes les informations</t>
  </si>
  <si>
    <t xml:space="preserve">Titre = nom du produit / description et prix affichés</t>
  </si>
  <si>
    <t xml:space="preserve">TF-PUB-07</t>
  </si>
  <si>
    <t xml:space="preserve">La page d'une catégorie affiche les produits associés</t>
  </si>
  <si>
    <t xml:space="preserve">Le titre est le nom de la catégorie / son produit est affiché</t>
  </si>
  <si>
    <t xml:space="preserve">TF-PUB-08</t>
  </si>
  <si>
    <t xml:space="preserve">L'accueil affiche uniquement les 3 derniers produits ajoutés (4 produits en base)</t>
  </si>
  <si>
    <t xml:space="preserve">3 produits affichés : les 3 plus récents présents, le plus ancien absent</t>
  </si>
  <si>
    <t xml:space="preserve">Tests fonctionnels : sécurité</t>
  </si>
  <si>
    <t xml:space="preserve">TF-SEC-01</t>
  </si>
  <si>
    <t xml:space="preserve">Un visiteur non connecté demande "/admin/produits"</t>
  </si>
  <si>
    <t xml:space="preserve">Redirection vers "/login"</t>
  </si>
  <si>
    <t xml:space="preserve">Fonctionnel - Sécurité</t>
  </si>
  <si>
    <t xml:space="preserve">TF-SEC-02</t>
  </si>
  <si>
    <t xml:space="preserve">Un utilisateur connecté sans le rôle Admin demande "/admin/produits"</t>
  </si>
  <si>
    <t xml:space="preserve">Accès refusé</t>
  </si>
  <si>
    <t xml:space="preserve">TF-SEC-03</t>
  </si>
  <si>
    <t xml:space="preserve">Un administrateur connecté demande "/admin/produits"</t>
  </si>
  <si>
    <t xml:space="preserve">Titre "Liste des produits"</t>
  </si>
  <si>
    <t xml:space="preserve">TF-SEC-04</t>
  </si>
  <si>
    <t xml:space="preserve">Connexion avec un email et un mot de passe corrects</t>
  </si>
  <si>
    <t xml:space="preserve">Redirection vers "/admin/produits"</t>
  </si>
  <si>
    <t xml:space="preserve">TF-SEC-05</t>
  </si>
  <si>
    <t xml:space="preserve">Connexion avec un mauvais mot de passe</t>
  </si>
  <si>
    <t xml:space="preserve">Redirection vers "/login" (connexion refusée)</t>
  </si>
  <si>
    <t xml:space="preserve">TF-SEC-06</t>
  </si>
  <si>
    <t xml:space="preserve">Déconnexion d'un administrateur</t>
  </si>
  <si>
    <t xml:space="preserve">Redirection vers la page d'accueil "/"</t>
  </si>
  <si>
    <t xml:space="preserve">Tests fonctionnels : backoffice</t>
  </si>
  <si>
    <t xml:space="preserve">TF-ADM-01</t>
  </si>
  <si>
    <t xml:space="preserve">Ajouter un produit via le formulaire</t>
  </si>
  <si>
    <t xml:space="preserve">Redirection vers la liste / produit enregistré avec sa catégorie, son état et sa date</t>
  </si>
  <si>
    <t xml:space="preserve">Fonctionnel - Backoffice</t>
  </si>
  <si>
    <t xml:space="preserve">TF-ADM-02</t>
  </si>
  <si>
    <t xml:space="preserve">Modifier un produit via le formulaire</t>
  </si>
  <si>
    <t xml:space="preserve">Redirection vers la liste / nom, description, prix et état modifiés en base</t>
  </si>
  <si>
    <t xml:space="preserve">TF-ADM-03</t>
  </si>
  <si>
    <t xml:space="preserve">Supprimer un produit</t>
  </si>
  <si>
    <t xml:space="preserve">Redirection vers la liste ; produit absent de la base</t>
  </si>
  <si>
    <t xml:space="preserve">TF-ADM-04</t>
  </si>
  <si>
    <t xml:space="preserve">Envoyer un état de produit invalide ("excellent")</t>
  </si>
  <si>
    <t xml:space="preserve">Formulaire refusé / aucun produit créé</t>
  </si>
  <si>
    <t xml:space="preserve">TF-ADM-05</t>
  </si>
  <si>
    <t xml:space="preserve">Ajouter une catégorie via le formulaire</t>
  </si>
  <si>
    <t xml:space="preserve">Redirection vers la liste / catégorie enregistrée</t>
  </si>
  <si>
    <t xml:space="preserve">TF-ADM-06</t>
  </si>
  <si>
    <t xml:space="preserve">Supprimer une catégorie vide</t>
  </si>
  <si>
    <t xml:space="preserve">Redirection vers la liste / catégorie absente de la base</t>
  </si>
  <si>
    <t xml:space="preserve">TF-ADM-07</t>
  </si>
  <si>
    <t xml:space="preserve">Supprimer une catégorie qui contient encore des produits</t>
  </si>
  <si>
    <t xml:space="preserve">Redirection vers la liste avec le message "contient encore des produits" / catégorie conservée</t>
  </si>
  <si>
    <t xml:space="preserve">1re exécution : échec (erreur 500). Après correction du contrôleur : OK</t>
  </si>
  <si>
    <t xml:space="preserve">TF-ADM-08</t>
  </si>
  <si>
    <t xml:space="preserve">Ajouter une catégorie sans description</t>
  </si>
  <si>
    <t xml:space="preserve">Formulaire refusé / aucune catégorie créée</t>
  </si>
  <si>
    <t xml:space="preserve">1re exécution : échec (erreur 500). Après ajout de la validation : OK</t>
  </si>
  <si>
    <t xml:space="preserve">TF-ADM-09</t>
  </si>
  <si>
    <t xml:space="preserve">Ajouter un produit avec un prix négatif</t>
  </si>
  <si>
    <t xml:space="preserve">OK (après ajout de la validation)</t>
  </si>
  <si>
    <t xml:space="preserve">TF-ADM-10</t>
  </si>
  <si>
    <t xml:space="preserve">Ajouter un produit sans prix</t>
  </si>
  <si>
    <t xml:space="preserve">Formulaire refusé</t>
  </si>
  <si>
    <t xml:space="preserve">1re exécution : échec (erreur 500). Après ajout de la contrainte NotBlank sur le prix : OK</t>
  </si>
  <si>
    <t xml:space="preserve">TF-ADM-11</t>
  </si>
  <si>
    <t xml:space="preserve">Ajouter un produit avec un nom de 300 caractères (maximum 255)</t>
  </si>
  <si>
    <t xml:space="preserve">1re exécution : échec (produit accepté, code 303). Après ajout de la contrainte Length : OK</t>
  </si>
  <si>
    <t xml:space="preserve">Indicateur</t>
  </si>
  <si>
    <t xml:space="preserve">Valeur</t>
  </si>
  <si>
    <t xml:space="preserve">Nombre total de tests</t>
  </si>
  <si>
    <t xml:space="preserve">Tests réussis</t>
  </si>
  <si>
    <t xml:space="preserve">Tests échoués</t>
  </si>
  <si>
    <t xml:space="preserve">Tests non exécutés</t>
  </si>
  <si>
    <t xml:space="preserve">Taux de réussite</t>
  </si>
  <si>
    <t xml:space="preserve">Type de test</t>
  </si>
  <si>
    <t xml:space="preserve">Nombre de tests</t>
  </si>
  <si>
    <t xml:space="preserve">Nombre de réussis</t>
  </si>
  <si>
    <t xml:space="preserve">Total</t>
  </si>
  <si>
    <t xml:space="preserve">Exécution</t>
  </si>
  <si>
    <t xml:space="preserve">Détail</t>
  </si>
  <si>
    <t xml:space="preserve">Date d'exécution</t>
  </si>
  <si>
    <t xml:space="preserve">Environnement</t>
  </si>
  <si>
    <t xml:space="preserve">Symfony 8.1, PHP 8.5, PHPUnit 13.3, MySQL 8.4 (base de test dédiée)</t>
  </si>
  <si>
    <t xml:space="preserve">Outil de test</t>
  </si>
  <si>
    <t xml:space="preserve">PHPUnit : 5 tests unitaires et 25 tests fonctionnels</t>
  </si>
  <si>
    <t xml:space="preserve">Anomalie</t>
  </si>
  <si>
    <t xml:space="preserve">Détectée par</t>
  </si>
  <si>
    <t xml:space="preserve">Correction</t>
  </si>
  <si>
    <t xml:space="preserve">Suppression d'une catégorie contenant des produits : erreur 500</t>
  </si>
  <si>
    <t xml:space="preserve">Vérification dans le contrôleur d'administration des catégories et message d'erreur affiché</t>
  </si>
  <si>
    <t xml:space="preserve">Description de catégorie vide : erreur 500 au lieu d'un message</t>
  </si>
  <si>
    <t xml:space="preserve">Contrainte NotBlank sur l'entité</t>
  </si>
  <si>
    <t xml:space="preserve">Prix vide : erreur 500</t>
  </si>
  <si>
    <t xml:space="preserve">Contrainte NotBlank sur le prix</t>
  </si>
  <si>
    <t xml:space="preserve">Nom trop long accepté</t>
  </si>
  <si>
    <t xml:space="preserve">Contrainte Length sur le nom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</si>
</sst>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Calibri"/>
        <charset val="1"/>
        <family val="0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0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0"/>
        <color rgb="FF404040"/>
        <sz val="11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0" activePane="bottomLeft" state="frozen"/>
      <selection pane="topLeft" activeCell="A1" activeCellId="0" sqref="A1"/>
      <selection pane="bottomLeft" activeCell="B39" activeCellId="0" sqref="B3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4" min="2" style="1" width="52"/>
    <col collapsed="false" customWidth="true" hidden="false" outlineLevel="0" max="5" min="5" style="2" width="26"/>
    <col collapsed="false" customWidth="true" hidden="false" outlineLevel="0" max="6" min="6" style="1" width="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Format="false" ht="15" hidden="false" customHeight="false" outlineLevel="0" collapsed="false">
      <c r="A2" s="4" t="s">
        <v>6</v>
      </c>
      <c r="B2" s="4"/>
      <c r="C2" s="4"/>
      <c r="D2" s="4"/>
      <c r="E2" s="4"/>
      <c r="F2" s="4"/>
    </row>
    <row r="3" customFormat="false" ht="15" hidden="false" customHeight="false" outlineLevel="0" collapsed="false">
      <c r="A3" s="5" t="s">
        <v>7</v>
      </c>
      <c r="B3" s="6" t="s">
        <v>8</v>
      </c>
      <c r="C3" s="6" t="s">
        <v>9</v>
      </c>
      <c r="D3" s="6" t="s">
        <v>10</v>
      </c>
      <c r="E3" s="5" t="s">
        <v>11</v>
      </c>
      <c r="F3" s="5" t="s">
        <v>12</v>
      </c>
    </row>
    <row r="4" customFormat="false" ht="24.05" hidden="false" customHeight="false" outlineLevel="0" collapsed="false">
      <c r="A4" s="5" t="s">
        <v>13</v>
      </c>
      <c r="B4" s="6" t="s">
        <v>14</v>
      </c>
      <c r="C4" s="6" t="s">
        <v>15</v>
      </c>
      <c r="D4" s="6" t="s">
        <v>10</v>
      </c>
      <c r="E4" s="5" t="s">
        <v>11</v>
      </c>
      <c r="F4" s="5" t="s">
        <v>12</v>
      </c>
    </row>
    <row r="5" customFormat="false" ht="15" hidden="false" customHeight="false" outlineLevel="0" collapsed="false">
      <c r="A5" s="5" t="s">
        <v>16</v>
      </c>
      <c r="B5" s="6" t="s">
        <v>17</v>
      </c>
      <c r="C5" s="6" t="s">
        <v>18</v>
      </c>
      <c r="D5" s="6" t="s">
        <v>10</v>
      </c>
      <c r="E5" s="5" t="s">
        <v>11</v>
      </c>
      <c r="F5" s="5" t="s">
        <v>12</v>
      </c>
    </row>
    <row r="6" customFormat="false" ht="15" hidden="false" customHeight="false" outlineLevel="0" collapsed="false">
      <c r="A6" s="5" t="s">
        <v>19</v>
      </c>
      <c r="B6" s="6" t="s">
        <v>20</v>
      </c>
      <c r="C6" s="6" t="s">
        <v>21</v>
      </c>
      <c r="D6" s="6" t="s">
        <v>10</v>
      </c>
      <c r="E6" s="5" t="s">
        <v>11</v>
      </c>
      <c r="F6" s="5" t="s">
        <v>12</v>
      </c>
    </row>
    <row r="7" customFormat="false" ht="24.05" hidden="false" customHeight="false" outlineLevel="0" collapsed="false">
      <c r="A7" s="5" t="s">
        <v>22</v>
      </c>
      <c r="B7" s="6" t="s">
        <v>23</v>
      </c>
      <c r="C7" s="6" t="s">
        <v>24</v>
      </c>
      <c r="D7" s="6" t="s">
        <v>10</v>
      </c>
      <c r="E7" s="5" t="s">
        <v>11</v>
      </c>
      <c r="F7" s="5" t="s">
        <v>12</v>
      </c>
    </row>
    <row r="8" customFormat="false" ht="15" hidden="false" customHeight="false" outlineLevel="0" collapsed="false">
      <c r="A8" s="4" t="s">
        <v>25</v>
      </c>
      <c r="B8" s="4"/>
      <c r="C8" s="4"/>
      <c r="D8" s="4"/>
      <c r="E8" s="4"/>
      <c r="F8" s="4"/>
    </row>
    <row r="9" customFormat="false" ht="15" hidden="false" customHeight="false" outlineLevel="0" collapsed="false">
      <c r="A9" s="5" t="s">
        <v>26</v>
      </c>
      <c r="B9" s="6" t="s">
        <v>27</v>
      </c>
      <c r="C9" s="6" t="s">
        <v>28</v>
      </c>
      <c r="D9" s="6" t="s">
        <v>10</v>
      </c>
      <c r="E9" s="5" t="s">
        <v>29</v>
      </c>
      <c r="F9" s="5" t="s">
        <v>12</v>
      </c>
    </row>
    <row r="10" customFormat="false" ht="15" hidden="false" customHeight="false" outlineLevel="0" collapsed="false">
      <c r="A10" s="5" t="s">
        <v>30</v>
      </c>
      <c r="B10" s="6" t="s">
        <v>31</v>
      </c>
      <c r="C10" s="6" t="s">
        <v>32</v>
      </c>
      <c r="D10" s="6" t="s">
        <v>10</v>
      </c>
      <c r="E10" s="5" t="s">
        <v>29</v>
      </c>
      <c r="F10" s="5" t="s">
        <v>12</v>
      </c>
    </row>
    <row r="11" customFormat="false" ht="15" hidden="false" customHeight="false" outlineLevel="0" collapsed="false">
      <c r="A11" s="5" t="s">
        <v>33</v>
      </c>
      <c r="B11" s="6" t="s">
        <v>34</v>
      </c>
      <c r="C11" s="6" t="s">
        <v>35</v>
      </c>
      <c r="D11" s="6" t="s">
        <v>10</v>
      </c>
      <c r="E11" s="5" t="s">
        <v>29</v>
      </c>
      <c r="F11" s="5" t="s">
        <v>12</v>
      </c>
    </row>
    <row r="12" customFormat="false" ht="15" hidden="false" customHeight="false" outlineLevel="0" collapsed="false">
      <c r="A12" s="5" t="s">
        <v>36</v>
      </c>
      <c r="B12" s="6" t="s">
        <v>37</v>
      </c>
      <c r="C12" s="6" t="s">
        <v>38</v>
      </c>
      <c r="D12" s="6" t="s">
        <v>10</v>
      </c>
      <c r="E12" s="5" t="s">
        <v>29</v>
      </c>
      <c r="F12" s="5" t="s">
        <v>12</v>
      </c>
    </row>
    <row r="13" customFormat="false" ht="15" hidden="false" customHeight="false" outlineLevel="0" collapsed="false">
      <c r="A13" s="5" t="s">
        <v>39</v>
      </c>
      <c r="B13" s="6" t="s">
        <v>40</v>
      </c>
      <c r="C13" s="6" t="s">
        <v>41</v>
      </c>
      <c r="D13" s="6" t="s">
        <v>10</v>
      </c>
      <c r="E13" s="5" t="s">
        <v>29</v>
      </c>
      <c r="F13" s="5" t="s">
        <v>12</v>
      </c>
    </row>
    <row r="14" customFormat="false" ht="15" hidden="false" customHeight="false" outlineLevel="0" collapsed="false">
      <c r="A14" s="5" t="s">
        <v>42</v>
      </c>
      <c r="B14" s="6" t="s">
        <v>43</v>
      </c>
      <c r="C14" s="6" t="s">
        <v>44</v>
      </c>
      <c r="D14" s="6" t="s">
        <v>10</v>
      </c>
      <c r="E14" s="5" t="s">
        <v>29</v>
      </c>
      <c r="F14" s="5" t="s">
        <v>12</v>
      </c>
    </row>
    <row r="15" customFormat="false" ht="15" hidden="false" customHeight="false" outlineLevel="0" collapsed="false">
      <c r="A15" s="5" t="s">
        <v>45</v>
      </c>
      <c r="B15" s="6" t="s">
        <v>46</v>
      </c>
      <c r="C15" s="6" t="s">
        <v>47</v>
      </c>
      <c r="D15" s="6" t="s">
        <v>10</v>
      </c>
      <c r="E15" s="5" t="s">
        <v>29</v>
      </c>
      <c r="F15" s="5" t="s">
        <v>12</v>
      </c>
    </row>
    <row r="16" customFormat="false" ht="24.05" hidden="false" customHeight="false" outlineLevel="0" collapsed="false">
      <c r="A16" s="5" t="s">
        <v>48</v>
      </c>
      <c r="B16" s="6" t="s">
        <v>49</v>
      </c>
      <c r="C16" s="6" t="s">
        <v>50</v>
      </c>
      <c r="D16" s="6" t="s">
        <v>10</v>
      </c>
      <c r="E16" s="5" t="s">
        <v>29</v>
      </c>
      <c r="F16" s="5" t="s">
        <v>12</v>
      </c>
    </row>
    <row r="17" customFormat="false" ht="15" hidden="false" customHeight="false" outlineLevel="0" collapsed="false">
      <c r="A17" s="4" t="s">
        <v>51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5" t="s">
        <v>52</v>
      </c>
      <c r="B18" s="6" t="s">
        <v>53</v>
      </c>
      <c r="C18" s="6" t="s">
        <v>54</v>
      </c>
      <c r="D18" s="6" t="s">
        <v>10</v>
      </c>
      <c r="E18" s="5" t="s">
        <v>55</v>
      </c>
      <c r="F18" s="5" t="s">
        <v>12</v>
      </c>
    </row>
    <row r="19" customFormat="false" ht="24.05" hidden="false" customHeight="false" outlineLevel="0" collapsed="false">
      <c r="A19" s="5" t="s">
        <v>56</v>
      </c>
      <c r="B19" s="6" t="s">
        <v>57</v>
      </c>
      <c r="C19" s="6" t="s">
        <v>58</v>
      </c>
      <c r="D19" s="6" t="s">
        <v>10</v>
      </c>
      <c r="E19" s="5" t="s">
        <v>55</v>
      </c>
      <c r="F19" s="5" t="s">
        <v>12</v>
      </c>
    </row>
    <row r="20" customFormat="false" ht="15" hidden="false" customHeight="false" outlineLevel="0" collapsed="false">
      <c r="A20" s="5" t="s">
        <v>59</v>
      </c>
      <c r="B20" s="6" t="s">
        <v>60</v>
      </c>
      <c r="C20" s="6" t="s">
        <v>61</v>
      </c>
      <c r="D20" s="6" t="s">
        <v>10</v>
      </c>
      <c r="E20" s="5" t="s">
        <v>55</v>
      </c>
      <c r="F20" s="5" t="s">
        <v>12</v>
      </c>
    </row>
    <row r="21" customFormat="false" ht="15" hidden="false" customHeight="false" outlineLevel="0" collapsed="false">
      <c r="A21" s="5" t="s">
        <v>62</v>
      </c>
      <c r="B21" s="6" t="s">
        <v>63</v>
      </c>
      <c r="C21" s="6" t="s">
        <v>64</v>
      </c>
      <c r="D21" s="6" t="s">
        <v>10</v>
      </c>
      <c r="E21" s="5" t="s">
        <v>55</v>
      </c>
      <c r="F21" s="5" t="s">
        <v>12</v>
      </c>
    </row>
    <row r="22" customFormat="false" ht="15" hidden="false" customHeight="false" outlineLevel="0" collapsed="false">
      <c r="A22" s="5" t="s">
        <v>65</v>
      </c>
      <c r="B22" s="6" t="s">
        <v>66</v>
      </c>
      <c r="C22" s="6" t="s">
        <v>67</v>
      </c>
      <c r="D22" s="6" t="s">
        <v>10</v>
      </c>
      <c r="E22" s="5" t="s">
        <v>55</v>
      </c>
      <c r="F22" s="5" t="s">
        <v>12</v>
      </c>
    </row>
    <row r="23" customFormat="false" ht="15" hidden="false" customHeight="false" outlineLevel="0" collapsed="false">
      <c r="A23" s="5" t="s">
        <v>68</v>
      </c>
      <c r="B23" s="6" t="s">
        <v>69</v>
      </c>
      <c r="C23" s="6" t="s">
        <v>70</v>
      </c>
      <c r="D23" s="6" t="s">
        <v>10</v>
      </c>
      <c r="E23" s="5" t="s">
        <v>55</v>
      </c>
      <c r="F23" s="5" t="s">
        <v>12</v>
      </c>
    </row>
    <row r="24" customFormat="false" ht="15" hidden="false" customHeight="false" outlineLevel="0" collapsed="false">
      <c r="A24" s="4" t="s">
        <v>71</v>
      </c>
      <c r="B24" s="4"/>
      <c r="C24" s="4"/>
      <c r="D24" s="4"/>
      <c r="E24" s="4"/>
      <c r="F24" s="4"/>
    </row>
    <row r="25" customFormat="false" ht="24.05" hidden="false" customHeight="false" outlineLevel="0" collapsed="false">
      <c r="A25" s="5" t="s">
        <v>72</v>
      </c>
      <c r="B25" s="6" t="s">
        <v>73</v>
      </c>
      <c r="C25" s="6" t="s">
        <v>74</v>
      </c>
      <c r="D25" s="6" t="s">
        <v>10</v>
      </c>
      <c r="E25" s="5" t="s">
        <v>75</v>
      </c>
      <c r="F25" s="5" t="s">
        <v>12</v>
      </c>
    </row>
    <row r="26" customFormat="false" ht="24.05" hidden="false" customHeight="false" outlineLevel="0" collapsed="false">
      <c r="A26" s="5" t="s">
        <v>76</v>
      </c>
      <c r="B26" s="6" t="s">
        <v>77</v>
      </c>
      <c r="C26" s="6" t="s">
        <v>78</v>
      </c>
      <c r="D26" s="6" t="s">
        <v>10</v>
      </c>
      <c r="E26" s="5" t="s">
        <v>75</v>
      </c>
      <c r="F26" s="5" t="s">
        <v>12</v>
      </c>
    </row>
    <row r="27" customFormat="false" ht="15" hidden="false" customHeight="false" outlineLevel="0" collapsed="false">
      <c r="A27" s="5" t="s">
        <v>79</v>
      </c>
      <c r="B27" s="6" t="s">
        <v>80</v>
      </c>
      <c r="C27" s="6" t="s">
        <v>81</v>
      </c>
      <c r="D27" s="6" t="s">
        <v>10</v>
      </c>
      <c r="E27" s="5" t="s">
        <v>75</v>
      </c>
      <c r="F27" s="5" t="s">
        <v>12</v>
      </c>
    </row>
    <row r="28" customFormat="false" ht="15" hidden="false" customHeight="false" outlineLevel="0" collapsed="false">
      <c r="A28" s="5" t="s">
        <v>82</v>
      </c>
      <c r="B28" s="6" t="s">
        <v>83</v>
      </c>
      <c r="C28" s="6" t="s">
        <v>84</v>
      </c>
      <c r="D28" s="6" t="s">
        <v>10</v>
      </c>
      <c r="E28" s="5" t="s">
        <v>75</v>
      </c>
      <c r="F28" s="5" t="s">
        <v>12</v>
      </c>
    </row>
    <row r="29" customFormat="false" ht="15" hidden="false" customHeight="false" outlineLevel="0" collapsed="false">
      <c r="A29" s="5" t="s">
        <v>85</v>
      </c>
      <c r="B29" s="6" t="s">
        <v>86</v>
      </c>
      <c r="C29" s="6" t="s">
        <v>87</v>
      </c>
      <c r="D29" s="6" t="s">
        <v>10</v>
      </c>
      <c r="E29" s="5" t="s">
        <v>75</v>
      </c>
      <c r="F29" s="5" t="s">
        <v>12</v>
      </c>
    </row>
    <row r="30" customFormat="false" ht="15" hidden="false" customHeight="false" outlineLevel="0" collapsed="false">
      <c r="A30" s="5" t="s">
        <v>88</v>
      </c>
      <c r="B30" s="6" t="s">
        <v>89</v>
      </c>
      <c r="C30" s="6" t="s">
        <v>90</v>
      </c>
      <c r="D30" s="6" t="s">
        <v>10</v>
      </c>
      <c r="E30" s="5" t="s">
        <v>75</v>
      </c>
      <c r="F30" s="5" t="s">
        <v>12</v>
      </c>
    </row>
    <row r="31" customFormat="false" ht="24.05" hidden="false" customHeight="false" outlineLevel="0" collapsed="false">
      <c r="A31" s="5" t="s">
        <v>91</v>
      </c>
      <c r="B31" s="6" t="s">
        <v>92</v>
      </c>
      <c r="C31" s="6" t="s">
        <v>93</v>
      </c>
      <c r="D31" s="6" t="s">
        <v>94</v>
      </c>
      <c r="E31" s="5" t="s">
        <v>75</v>
      </c>
      <c r="F31" s="5" t="s">
        <v>12</v>
      </c>
    </row>
    <row r="32" customFormat="false" ht="24.05" hidden="false" customHeight="false" outlineLevel="0" collapsed="false">
      <c r="A32" s="5" t="s">
        <v>95</v>
      </c>
      <c r="B32" s="6" t="s">
        <v>96</v>
      </c>
      <c r="C32" s="6" t="s">
        <v>97</v>
      </c>
      <c r="D32" s="6" t="s">
        <v>98</v>
      </c>
      <c r="E32" s="5" t="s">
        <v>75</v>
      </c>
      <c r="F32" s="5" t="s">
        <v>12</v>
      </c>
    </row>
    <row r="33" customFormat="false" ht="15" hidden="false" customHeight="false" outlineLevel="0" collapsed="false">
      <c r="A33" s="5" t="s">
        <v>99</v>
      </c>
      <c r="B33" s="6" t="s">
        <v>100</v>
      </c>
      <c r="C33" s="6" t="s">
        <v>84</v>
      </c>
      <c r="D33" s="6" t="s">
        <v>101</v>
      </c>
      <c r="E33" s="5" t="s">
        <v>75</v>
      </c>
      <c r="F33" s="5" t="s">
        <v>12</v>
      </c>
    </row>
    <row r="34" customFormat="false" ht="24.05" hidden="false" customHeight="false" outlineLevel="0" collapsed="false">
      <c r="A34" s="5" t="s">
        <v>102</v>
      </c>
      <c r="B34" s="6" t="s">
        <v>103</v>
      </c>
      <c r="C34" s="6" t="s">
        <v>104</v>
      </c>
      <c r="D34" s="6" t="s">
        <v>105</v>
      </c>
      <c r="E34" s="5" t="s">
        <v>75</v>
      </c>
      <c r="F34" s="5" t="s">
        <v>12</v>
      </c>
    </row>
    <row r="35" customFormat="false" ht="24.05" hidden="false" customHeight="false" outlineLevel="0" collapsed="false">
      <c r="A35" s="5" t="s">
        <v>106</v>
      </c>
      <c r="B35" s="6" t="s">
        <v>107</v>
      </c>
      <c r="C35" s="6" t="s">
        <v>104</v>
      </c>
      <c r="D35" s="6" t="s">
        <v>108</v>
      </c>
      <c r="E35" s="5" t="s">
        <v>75</v>
      </c>
      <c r="F35" s="5" t="s">
        <v>12</v>
      </c>
    </row>
  </sheetData>
  <autoFilter ref="A1:F35"/>
  <mergeCells count="4">
    <mergeCell ref="A2:F2"/>
    <mergeCell ref="A8:F8"/>
    <mergeCell ref="A17:F17"/>
    <mergeCell ref="A24:F24"/>
  </mergeCells>
  <conditionalFormatting sqref="F2:F35">
    <cfRule type="cellIs" priority="2" operator="equal" aboveAverage="0" equalAverage="0" bottom="0" percent="0" rank="0" text="" dxfId="6">
      <formula>"Réussi"</formula>
    </cfRule>
    <cfRule type="cellIs" priority="3" operator="equal" aboveAverage="0" equalAverage="0" bottom="0" percent="0" rank="0" text="" dxfId="7">
      <formula>"Échoué"</formula>
    </cfRule>
    <cfRule type="cellIs" priority="4" operator="equal" aboveAverage="0" equalAverage="0" bottom="0" percent="0" rank="0" text="" dxfId="8">
      <formula>"Non exécuté"</formula>
    </cfRule>
  </conditionalFormatting>
  <dataValidations count="1">
    <dataValidation allowBlank="false" error="Choisir Réussi, Échoué ou Non exécuté." errorStyle="stop" errorTitle="Statut invalide" operator="between" showDropDown="false" showErrorMessage="true" showInputMessage="false" sqref="F3:F7 F9:F16 F18:F23 F25:F35" type="list">
      <formula1>"Réussi,Échoué,Non exécuté"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40"/>
    <col collapsed="false" customWidth="true" hidden="false" outlineLevel="0" max="3" min="3" style="1" width="24"/>
  </cols>
  <sheetData>
    <row r="1" customFormat="false" ht="15" hidden="false" customHeight="false" outlineLevel="0" collapsed="false">
      <c r="A1" s="3" t="s">
        <v>109</v>
      </c>
      <c r="B1" s="3" t="s">
        <v>110</v>
      </c>
    </row>
    <row r="2" customFormat="false" ht="15" hidden="false" customHeight="false" outlineLevel="0" collapsed="false">
      <c r="A2" s="6" t="s">
        <v>111</v>
      </c>
      <c r="B2" s="7" t="n">
        <f aca="false">COUNTA('Plan de tests'!$E$2:$E$35)</f>
        <v>30</v>
      </c>
    </row>
    <row r="3" customFormat="false" ht="15" hidden="false" customHeight="false" outlineLevel="0" collapsed="false">
      <c r="A3" s="6" t="s">
        <v>112</v>
      </c>
      <c r="B3" s="7" t="n">
        <f aca="false">COUNTIF('Plan de tests'!$F$2:$F$35,"Réussi")</f>
        <v>30</v>
      </c>
    </row>
    <row r="4" customFormat="false" ht="15" hidden="false" customHeight="false" outlineLevel="0" collapsed="false">
      <c r="A4" s="6" t="s">
        <v>113</v>
      </c>
      <c r="B4" s="7" t="n">
        <f aca="false">COUNTIF('Plan de tests'!$F$2:$F$35,"Échoué")</f>
        <v>0</v>
      </c>
    </row>
    <row r="5" customFormat="false" ht="15" hidden="false" customHeight="false" outlineLevel="0" collapsed="false">
      <c r="A5" s="6" t="s">
        <v>114</v>
      </c>
      <c r="B5" s="7" t="n">
        <f aca="false">COUNTIF('Plan de tests'!$F$2:$F$35,"Non exécuté")</f>
        <v>0</v>
      </c>
    </row>
    <row r="6" customFormat="false" ht="15" hidden="false" customHeight="false" outlineLevel="0" collapsed="false">
      <c r="A6" s="6" t="s">
        <v>115</v>
      </c>
      <c r="B6" s="8" t="n">
        <f aca="false">IF(B2=0,0,B3/B2)</f>
        <v>1</v>
      </c>
    </row>
    <row r="8" customFormat="false" ht="15" hidden="false" customHeight="false" outlineLevel="0" collapsed="false">
      <c r="A8" s="3" t="s">
        <v>116</v>
      </c>
      <c r="B8" s="3" t="s">
        <v>117</v>
      </c>
      <c r="C8" s="3" t="s">
        <v>118</v>
      </c>
    </row>
    <row r="9" customFormat="false" ht="15" hidden="false" customHeight="false" outlineLevel="0" collapsed="false">
      <c r="A9" s="6" t="s">
        <v>11</v>
      </c>
      <c r="B9" s="9" t="n">
        <f aca="false">COUNTIF('Plan de tests'!$E$2:$E$35,A9)</f>
        <v>5</v>
      </c>
      <c r="C9" s="9" t="n">
        <f aca="false">COUNTIFS('Plan de tests'!$E$2:$E$35,A9,'Plan de tests'!$F$2:$F$35,"Réussi")</f>
        <v>5</v>
      </c>
    </row>
    <row r="10" customFormat="false" ht="15" hidden="false" customHeight="false" outlineLevel="0" collapsed="false">
      <c r="A10" s="6" t="s">
        <v>29</v>
      </c>
      <c r="B10" s="9" t="n">
        <f aca="false">COUNTIF('Plan de tests'!$E$2:$E$35,A10)</f>
        <v>8</v>
      </c>
      <c r="C10" s="9" t="n">
        <f aca="false">COUNTIFS('Plan de tests'!$E$2:$E$35,A10,'Plan de tests'!$F$2:$F$35,"Réussi")</f>
        <v>8</v>
      </c>
    </row>
    <row r="11" customFormat="false" ht="15" hidden="false" customHeight="false" outlineLevel="0" collapsed="false">
      <c r="A11" s="6" t="s">
        <v>55</v>
      </c>
      <c r="B11" s="9" t="n">
        <f aca="false">COUNTIF('Plan de tests'!$E$2:$E$35,A11)</f>
        <v>6</v>
      </c>
      <c r="C11" s="9" t="n">
        <f aca="false">COUNTIFS('Plan de tests'!$E$2:$E$35,A11,'Plan de tests'!$F$2:$F$35,"Réussi")</f>
        <v>6</v>
      </c>
    </row>
    <row r="12" customFormat="false" ht="15" hidden="false" customHeight="false" outlineLevel="0" collapsed="false">
      <c r="A12" s="6" t="s">
        <v>75</v>
      </c>
      <c r="B12" s="9" t="n">
        <f aca="false">COUNTIF('Plan de tests'!$E$2:$E$35,A12)</f>
        <v>11</v>
      </c>
      <c r="C12" s="9" t="n">
        <f aca="false">COUNTIFS('Plan de tests'!$E$2:$E$35,A12,'Plan de tests'!$F$2:$F$35,"Réussi")</f>
        <v>11</v>
      </c>
    </row>
    <row r="13" customFormat="false" ht="15" hidden="false" customHeight="false" outlineLevel="0" collapsed="false">
      <c r="A13" s="10" t="s">
        <v>119</v>
      </c>
      <c r="B13" s="11" t="n">
        <f aca="false">SUM(B9:B12)</f>
        <v>30</v>
      </c>
      <c r="C13" s="11" t="n">
        <f aca="false">SUM(C9:C12)</f>
        <v>30</v>
      </c>
    </row>
    <row r="15" customFormat="false" ht="15" hidden="false" customHeight="false" outlineLevel="0" collapsed="false">
      <c r="A15" s="3" t="s">
        <v>120</v>
      </c>
      <c r="B15" s="3" t="s">
        <v>121</v>
      </c>
    </row>
    <row r="16" customFormat="false" ht="15" hidden="false" customHeight="false" outlineLevel="0" collapsed="false">
      <c r="A16" s="6" t="s">
        <v>122</v>
      </c>
      <c r="B16" s="12" t="n">
        <v>46297</v>
      </c>
      <c r="C16" s="12"/>
    </row>
    <row r="17" customFormat="false" ht="15" hidden="false" customHeight="true" outlineLevel="0" collapsed="false">
      <c r="A17" s="6" t="s">
        <v>123</v>
      </c>
      <c r="B17" s="6" t="s">
        <v>124</v>
      </c>
      <c r="C17" s="6"/>
    </row>
    <row r="18" customFormat="false" ht="15" hidden="false" customHeight="true" outlineLevel="0" collapsed="false">
      <c r="A18" s="6" t="s">
        <v>125</v>
      </c>
      <c r="B18" s="6" t="s">
        <v>126</v>
      </c>
      <c r="C18" s="6"/>
    </row>
  </sheetData>
  <mergeCells count="3">
    <mergeCell ref="B16:C16"/>
    <mergeCell ref="B17:C17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70"/>
  </cols>
  <sheetData>
    <row r="1" customFormat="false" ht="15" hidden="false" customHeight="false" outlineLevel="0" collapsed="false">
      <c r="A1" s="3" t="s">
        <v>127</v>
      </c>
      <c r="B1" s="3" t="s">
        <v>128</v>
      </c>
      <c r="C1" s="3" t="s">
        <v>129</v>
      </c>
    </row>
    <row r="2" customFormat="false" ht="24.05" hidden="false" customHeight="false" outlineLevel="0" collapsed="false">
      <c r="A2" s="6" t="s">
        <v>130</v>
      </c>
      <c r="B2" s="5" t="s">
        <v>91</v>
      </c>
      <c r="C2" s="6" t="s">
        <v>131</v>
      </c>
    </row>
    <row r="3" customFormat="false" ht="15" hidden="false" customHeight="false" outlineLevel="0" collapsed="false">
      <c r="A3" s="6" t="s">
        <v>132</v>
      </c>
      <c r="B3" s="5" t="s">
        <v>95</v>
      </c>
      <c r="C3" s="6" t="s">
        <v>133</v>
      </c>
    </row>
    <row r="4" customFormat="false" ht="15" hidden="false" customHeight="false" outlineLevel="0" collapsed="false">
      <c r="A4" s="6" t="s">
        <v>134</v>
      </c>
      <c r="B4" s="5" t="s">
        <v>102</v>
      </c>
      <c r="C4" s="6" t="s">
        <v>135</v>
      </c>
    </row>
    <row r="5" customFormat="false" ht="15" hidden="false" customHeight="false" outlineLevel="0" collapsed="false">
      <c r="A5" s="6" t="s">
        <v>136</v>
      </c>
      <c r="B5" s="5" t="s">
        <v>106</v>
      </c>
      <c r="C5" s="6" t="s">
        <v>137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2026-10-02T08:16:33Z</dcterms:created>
  <dc:creator>openpyxl</dc:creator>
  <dc:description/>
  <dc:language>en-US</dc:language>
  <cp:lastModifiedBy/>
  <dcterms:modified xsi:type="dcterms:W3CDTF">2026-10-02T10:34:06Z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